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<sst xmlns="http://schemas.openxmlformats.org/spreadsheetml/2006/main" count="488" uniqueCount="319">
  <si>
    <t>TATA TECHNOLOGIES: IPO-to-date valuation and FY27 scenario model. ₹ crore unless stated. Percent rows are plain numbers (20 means 20%). Market data as of 9 Oct 2026 close. Columns B-D are actuals; column E is the editable scenario.</t>
  </si>
  <si>
    <t>Parameter</t>
  </si>
  <si>
    <t>FY24 (IPO year)</t>
  </si>
  <si>
    <t>FY25</t>
  </si>
  <si>
    <t>FY26</t>
  </si>
  <si>
    <t>FY27E (scenario)</t>
  </si>
  <si>
    <t>Type</t>
  </si>
  <si>
    <t>Remarks: reasoning, impact and source data</t>
  </si>
  <si>
    <t>A. IPO FACTS (values in column B)</t>
  </si>
  <si>
    <t>IPO issue price (₹)</t>
  </si>
  <si>
    <t>Actual</t>
  </si>
  <si>
    <t>Price band ₹475-500; final price ₹500; issue open 22-24 Nov 2023 (Business Standard, Finology).</t>
  </si>
  <si>
    <t>IPO size, 100% offer for sale (₹ cr)</t>
  </si>
  <si>
    <t>Entirely an offer for sale by Tata Motors (4.63 cr shares), Alpha TC Holdings (97.17 lakh) and Tata Capital Growth Fund I (48.58 lakh). The company received no money, so there was no dilution and no addition to net worth. This is why the model keeps the share count flat.</t>
  </si>
  <si>
    <t>Shares sold in IPO (cr)</t>
  </si>
  <si>
    <t>Formula</t>
  </si>
  <si>
    <t>Issue size divided by issue price; about 15% of the company.</t>
  </si>
  <si>
    <t>Subscription (times)</t>
  </si>
  <si>
    <t>QIB 203.41x, NII 62.11x, retail 16.50x (Angel One). Demand this heavy explains the listing premium. For a listed stock the model now tracks demand through institutional holding (rows 81-82) instead of IPO take-up.</t>
  </si>
  <si>
    <t>Listing price, 30 Nov 2023 (₹)</t>
  </si>
  <si>
    <t>Opened at ₹1,200 on NSE and ₹1,199.95 on BSE.</t>
  </si>
  <si>
    <t>Listing gain (%)</t>
  </si>
  <si>
    <t>140% premium on day one.</t>
  </si>
  <si>
    <t>Shares outstanding at IPO (cr)</t>
  </si>
  <si>
    <t>Face value ₹2. Now 40.60 cr after small employee-stock allotments.</t>
  </si>
  <si>
    <t>Valuation at issue price (₹ cr)</t>
  </si>
  <si>
    <t>What IPO investors paid for the whole company.</t>
  </si>
  <si>
    <t>Valuation at listing price (₹ cr)</t>
  </si>
  <si>
    <t>Market value at the opening trade; it touched about ₹52,940 cr during the first morning (The Week).</t>
  </si>
  <si>
    <t>FY23 PAT, year before IPO (₹ cr)</t>
  </si>
  <si>
    <t>Reference figure from the IPO period; not re-checked online today.</t>
  </si>
  <si>
    <t>P/E at issue price (x)</t>
  </si>
  <si>
    <t>The IPO was priced at about 32.5 times trailing profit.</t>
  </si>
  <si>
    <t>P/E at listing price (x)</t>
  </si>
  <si>
    <t>The market paid about 78 times profit on day one. This is the starting point of the de-rating shown in row 48.</t>
  </si>
  <si>
    <t>B. COMPANY FINANCIALS (consolidated)</t>
  </si>
  <si>
    <t>Revenue from operations (₹ cr)</t>
  </si>
  <si>
    <t>Actual; FY27E formula</t>
  </si>
  <si>
    <t>FY26 revenue up 6.5% (results of 4 May 2026). FY27E = FY26 x (1 + growth in row 18), adjusted for order wins (row 99) and bid discount (row 100).</t>
  </si>
  <si>
    <t>Revenue growth (%)</t>
  </si>
  <si>
    <t>Formula; FY27E input</t>
  </si>
  <si>
    <t>FY24 is measured against FY23 revenue of ₹4,414 cr (Screener). FY27E input of 20: Q1 FY27 revenue was ₹1,664.6 cr, up 33.8% YoY; holding that quarterly run-rate flat for the year gives about +21%. Management is guiding to double-digit organic growth. Revisit after Q2 results on 14 Oct 2026.</t>
  </si>
  <si>
    <t>Operating EBITDA (₹ cr)</t>
  </si>
  <si>
    <t>FY24 from Screener; FY25 and FY26 from company results. FY27E = revenue x base margin (row 21) minus the net cost impact from section G (row 116).</t>
  </si>
  <si>
    <t>EBITDA margin (%)</t>
  </si>
  <si>
    <t>Margin slipped from 18.4% to 15.5% in two years. This, not revenue, is the main reason EPS fell in FY26.</t>
  </si>
  <si>
    <t>Base EBITDA margin before drivers (%)</t>
  </si>
  <si>
    <t>Input</t>
  </si>
  <si>
    <t>Q1 FY27 actual was 16.1% (16.0% in Q4 FY26). Cost drivers in section F move the margin up or down from here.</t>
  </si>
  <si>
    <t>PAT (₹ cr)</t>
  </si>
  <si>
    <t>FY26 PAT fell 19.3% on a one-off labour-code charge in Q3 and acquisition integration costs. FY24 is a reference figure not re-checked today. FY27E = EBITDA x conversion ratio (row 23), less extra depreciation and interest (row 118), adjusted for any tax change (row 102).</t>
  </si>
  <si>
    <t>PAT as % of EBITDA</t>
  </si>
  <si>
    <t>Share of EBITDA left after depreciation, interest, other income and tax. FY27E input of 67.6 is the Q1 FY27 actual (PAT ₹180.75 cr on EBITDA ₹267.4 cr).</t>
  </si>
  <si>
    <t>Tax expense (₹ cr)</t>
  </si>
  <si>
    <t>From the audited FY26 results.</t>
  </si>
  <si>
    <t>Effective tax rate (%)</t>
  </si>
  <si>
    <t>Tax divided by profit before tax. It rose from 26.5% to 28.5%. FY27E = FY26 rate plus the change you enter in row 102.</t>
  </si>
  <si>
    <t>Employee benefit expense (₹ cr)</t>
  </si>
  <si>
    <t>Up 10% in FY26 while revenue rose 6.5%. FY27E keeps the FY26 share of revenue, plus wage and attrition effects from row 106.</t>
  </si>
  <si>
    <t>Employee cost as % of revenue</t>
  </si>
  <si>
    <t>About half of every rupee of revenue goes to people, so wage hikes and attrition are the largest cost lever.</t>
  </si>
  <si>
    <t>Shares outstanding (cr)</t>
  </si>
  <si>
    <t>No fresh issue assumed in FY27E.</t>
  </si>
  <si>
    <t>EPS (₹)</t>
  </si>
  <si>
    <t>PAT divided by shares.</t>
  </si>
  <si>
    <t>Dividend per share (₹)</t>
  </si>
  <si>
    <t>FY24: 8.40 final + 1.65 special. FY25 and FY26: 8.35 final + 3.35 special (FY26 record date 18 Jun 2026).</t>
  </si>
  <si>
    <t>Dividend payout (%)</t>
  </si>
  <si>
    <t>Payout rose from 60% to 87% because the dividend was held while profit fell. FY27E input of 80 is an assumption.</t>
  </si>
  <si>
    <t>Net worth, total equity (₹ cr)</t>
  </si>
  <si>
    <t>FY24 from book value of ₹79.40 per share; FY25 and FY26 from the audited balance sheet. FY27E = opening net worth + PAT - dividends.</t>
  </si>
  <si>
    <t>Book value per share (₹)</t>
  </si>
  <si>
    <t>Net worth divided by shares.</t>
  </si>
  <si>
    <t>ROE (%)</t>
  </si>
  <si>
    <t>ROE fell from about 21% to 14%: lower profit on a growing equity base.</t>
  </si>
  <si>
    <t>Borrowings (₹ cr)</t>
  </si>
  <si>
    <t>Debt-free until FY26. At 31 Mar 2026: ₹588.99 cr long-term plus ₹76.57 cr short-term. New debt adds interest cost and makes earnings a little more sensitive to rate hikes.</t>
  </si>
  <si>
    <t>Net cash incl. investments (₹ cr)</t>
  </si>
  <si>
    <t>Cash and investments less debt: Mar 2025 and Mar 2026 from Tijori; ₹880 cr at end of Q1 FY27 per the company. The FY26 drop reflects acquisition spending and dividends.</t>
  </si>
  <si>
    <t>Debt to equity (x)</t>
  </si>
  <si>
    <t>Still low at about 0.17.</t>
  </si>
  <si>
    <t>C. SHARE PRICE AND VALUATION (FY-end actuals; FY27E = model output)</t>
  </si>
  <si>
    <t>Share price at period end (₹)</t>
  </si>
  <si>
    <t>Derived; FY27E model</t>
  </si>
  <si>
    <t>FY-end prices are derived from Trendlyne quarterly-return data (accurate to about 1%); overwrite with exact closes if you have them. FY26 ended near the 52-week low of ₹507.40. FY27E is the model price from row 135.</t>
  </si>
  <si>
    <t>Market cap (₹ cr)</t>
  </si>
  <si>
    <t>Price x shares.</t>
  </si>
  <si>
    <t>P/E (x)</t>
  </si>
  <si>
    <t>P/E has compressed from 78x at listing to 61x, 40.5x and 37.8x at successive year-ends.</t>
  </si>
  <si>
    <t>P/B (x)</t>
  </si>
  <si>
    <t>Price divided by book value per share.</t>
  </si>
  <si>
    <t>EV/EBITDA (x)</t>
  </si>
  <si>
    <t>(Market cap - net cash) divided by EBITDA. FY24 left blank: net cash not sourced.</t>
  </si>
  <si>
    <t>Dividend yield (%)</t>
  </si>
  <si>
    <t>Yield rose as the price fell and the dividend held.</t>
  </si>
  <si>
    <t>Price change in period (%)</t>
  </si>
  <si>
    <t>FY24 is measured from the ₹1,200 listing price to 28 Mar 2024.</t>
  </si>
  <si>
    <t>Return vs IPO issue price (%)</t>
  </si>
  <si>
    <t>IPO allottees at ₹500 were barely above cost at FY26 end; buyers at the listing price are still well below cost.</t>
  </si>
  <si>
    <t>EPS growth (%)</t>
  </si>
  <si>
    <t>Earnings part of the price move.</t>
  </si>
  <si>
    <t>P/E change, re-rating (%)</t>
  </si>
  <si>
    <t>Valuation part of the price move: (1 + price change) = (1 + EPS growth) x (1 + P/E change). Most of the fall since listing came from the P/E shrinking, not from earnings.</t>
  </si>
  <si>
    <t>Sensex at period start</t>
  </si>
  <si>
    <t>FY24 starts at the 30 Nov 2023 listing-day close (reference figure, not re-checked today).</t>
  </si>
  <si>
    <t>Sensex at period end</t>
  </si>
  <si>
    <t>Actual; FY27E input</t>
  </si>
  <si>
    <t>28 Mar 2024 (reference figure), 28 Mar 2025 and 30 Mar 2026 closes. The FY27E cell holds the 9 Oct 2026 close; overwrite it with your March 2027 view.</t>
  </si>
  <si>
    <t>Nifty 50 at period start</t>
  </si>
  <si>
    <t>As for Sensex.</t>
  </si>
  <si>
    <t>Nifty 50 at period end</t>
  </si>
  <si>
    <t>FY27E cell holds the 9 Oct 2026 close; overwrite with your view.</t>
  </si>
  <si>
    <t>Sensex change (%)</t>
  </si>
  <si>
    <t>FY26 was the first down year since Covid: tariff shock early, then the US-Iran war, a crude spike and record FII selling in March 2026.</t>
  </si>
  <si>
    <t>Nifty 50 change (%)</t>
  </si>
  <si>
    <t>As above.</t>
  </si>
  <si>
    <t>Stock vs Nifty (percentage points)</t>
  </si>
  <si>
    <t>The stock lagged the Nifty in each completed year, so the weakness was company- and sector-specific, not only the market.</t>
  </si>
  <si>
    <t>D. LIVE SNAPSHOT, 9 OCT 2026 (values in column B)</t>
  </si>
  <si>
    <t>Latest share price (₹)</t>
  </si>
  <si>
    <t>Live data</t>
  </si>
  <si>
    <t>NSE close on 9 Oct 2026, up about 3% on the day as IT stocks rallied after TCS results. Previous close ₹694.65.</t>
  </si>
  <si>
    <t>Market cap at latest price (₹ cr)</t>
  </si>
  <si>
    <t>Trailing 12-month PAT (₹ cr)</t>
  </si>
  <si>
    <t>FY26 PAT 546.59 less Q1 FY26 170.3 plus Q1 FY27 180.75.</t>
  </si>
  <si>
    <t>Trailing P/E (x)</t>
  </si>
  <si>
    <t>Matches the 52.2x shown by brokers. Peers trade near 27-29x (row 88).</t>
  </si>
  <si>
    <t>Forward P/E on FY27E EPS (x)</t>
  </si>
  <si>
    <t>Latest price divided by this model's FY27E EPS. Moves when you change any scenario input.</t>
  </si>
  <si>
    <t>P/B on FY26 book value (x)</t>
  </si>
  <si>
    <t>Screener shows the same 7.41x.</t>
  </si>
  <si>
    <t>Dividend yield on FY26 dividend (%)</t>
  </si>
  <si>
    <t>FY26 dividend of ₹11.70 on the latest price.</t>
  </si>
  <si>
    <t>52-week high (₹)</t>
  </si>
  <si>
    <t>From broker quote pages.</t>
  </si>
  <si>
    <t>52-week low (₹)</t>
  </si>
  <si>
    <t>Hit around the end of March 2026.</t>
  </si>
  <si>
    <t>50-day moving average (₹)</t>
  </si>
  <si>
    <t>Dhan, 9 Oct 2026. Price is below it: the short-term trend is down (about -13% in one month).</t>
  </si>
  <si>
    <t>200-day moving average (₹)</t>
  </si>
  <si>
    <t>Dhan, 9 Oct 2026. Price is above it: long-term support is holding.</t>
  </si>
  <si>
    <t>RSI, 14-day</t>
  </si>
  <si>
    <t>Close to the oversold line of 30.</t>
  </si>
  <si>
    <t>Price vs 200-day average (%)</t>
  </si>
  <si>
    <t>Distance above long-term support.</t>
  </si>
  <si>
    <t>Model FY27E price vs latest price (%)</t>
  </si>
  <si>
    <t>Negative means the scenario price is below the market price. A scenario output, not a recommendation.</t>
  </si>
  <si>
    <t>E. MARKET, MACRO, SENTIMENT AND TECHNICAL INPUTS (FY27E column drives the model)</t>
  </si>
  <si>
    <t>Sector move vs market (%)</t>
  </si>
  <si>
    <t>Your view of IT / engineering R&amp;D stocks relative to the Nifty. Nifty IT led the 9 Oct rally, but engineering R&amp;D peers were de-rated after KPIT's guidance warning on European auto R&amp;D budgets in July 2026. Left at 0.</t>
  </si>
  <si>
    <t>RBI repo rate at period end (%)</t>
  </si>
  <si>
    <t>6.50 at the IPO and at FY24 end; 125 bps of cuts during 2025; hiked 25 bps to 5.50 on 7 Oct 2026 with the stance changed to calibrated tightening.</t>
  </si>
  <si>
    <t>Repo rate change in period (pp)</t>
  </si>
  <si>
    <t>Higher rates raise the discount rate on future profits and cut the P/E, most of all for high-P/E stocks. Effect = change x row 158.</t>
  </si>
  <si>
    <t>CPI inflation (%)</t>
  </si>
  <si>
    <t>RBI projection for FY27 (Oct 2026 policy). August 2026 print was 4.82%; RBI expects about 6% in Q3. Above the 4% target, so it weighs on the P/E and adds to wage pressure.</t>
  </si>
  <si>
    <t>Real GDP growth (%)</t>
  </si>
  <si>
    <t>RBI projection for FY27, raised by 40 bps in Oct 2026. Above trend, a mild support for earnings and valuations.</t>
  </si>
  <si>
    <t>Brent crude (US$ per barrel)</t>
  </si>
  <si>
    <t>About $106.67 at FY26 end; $104.43 on 9 Oct 2026, still roughly 66% higher than a year earlier. Crude affects this stock mainly through inflation, the rupee and foreign outflows rather than its own costs.</t>
  </si>
  <si>
    <t>USD/INR</t>
  </si>
  <si>
    <t>The rupee first broke 95 at FY26 end; about 96.74 on 9 Oct 2026. A weaker rupee lifts the rupee value of export revenue (row 101).</t>
  </si>
  <si>
    <t>India VIX</t>
  </si>
  <si>
    <t>27.89 at FY26 end, 14.36 on 9 Oct 2026. Market fear has roughly halved, which supports risk appetite. Shown for context; fold it into the sentiment score.</t>
  </si>
  <si>
    <t>Investor sentiment score (-5 to +5)</t>
  </si>
  <si>
    <t>Left at 0 because the evidence is mixed. Negative: a Motilal Oswal Sell rating with a ₹500 target (May 2026), the stock down about 13% in a month, retail shareholder count falling from 14.1 lakh to 12.4 lakh. Positive: FII and DII stakes rising every quarter, strong Q1 growth, VIX sharply lower.</t>
  </si>
  <si>
    <t>Institutional holding, FII + DII (% of shares)</t>
  </si>
  <si>
    <t>Screener: Mar 2024 1.10 + 1.51; Mar 2025 3.10 + 2.48; Mar 2026 5.77 + 3.44; Jun 2026 6.30 + 4.48. Promoters hold 55.17% (Tata Motors Passenger Vehicles 53.34%).</t>
  </si>
  <si>
    <t>Change in institutional holding (pp)</t>
  </si>
  <si>
    <t>Institutions have been buying while retail holders sold: a steady source of demand. Effect = change x row 165.</t>
  </si>
  <si>
    <t>Volume ratio (latest vs 20-day average)</t>
  </si>
  <si>
    <t>About 22 lakh shares traded on 9 Oct (Dhan, 2:30 pm). A 20-day average was not found online, so this is left at 1. Take it from NSE; above 1 strengthens the chart signal.</t>
  </si>
  <si>
    <t>Delivery (% of traded volume)</t>
  </si>
  <si>
    <t>Not found online today, so left at the 45% benchmark (no effect). Take it from NSE security-wise delivery data; high delivery means buyers are holding, not day-trading.</t>
  </si>
  <si>
    <t>Chart pattern score (-2 to +2)</t>
  </si>
  <si>
    <t>Left at 0: the price sits between the 200-day average (support near 678) and the 50-day average (resistance near 776). Use +1 or +2 on a close above 776 with volume, -1 or -2 on a close below 678.</t>
  </si>
  <si>
    <t>Event impact (%)</t>
  </si>
  <si>
    <t>Q2 FY27 results are due on 14 Oct 2026. Also check the exchange's request for clarification on a news report dated 29 Sep 2026. Enter the % effect you expect once the event is known.</t>
  </si>
  <si>
    <t>Share of valuation gap to peers that closes (%)</t>
  </si>
  <si>
    <t>The stock trades at about 52x trailing profit against about 28x for peers. Enter how much of the gap between the model's opening P/E (row 133) and the peer P/E you expect to close; 25 cuts the model P/E by about 6%.</t>
  </si>
  <si>
    <t>Peer average P/E (x)</t>
  </si>
  <si>
    <t>KPIT about 27x, Tata Elxsi 29.4x (1 Oct 2026), L&amp;T Technology Services about 29x.</t>
  </si>
  <si>
    <t>F. COST AND OPERATING DRIVERS FOR FY27E (inputs in column E)</t>
  </si>
  <si>
    <t>Shift to work from home (pp of staff)</t>
  </si>
  <si>
    <t>More staff at home means more cloud and data-centre load and power, less office space, and extra capex. Feeds rows 107-109 and 117.</t>
  </si>
  <si>
    <t>Other extra capex (₹ cr)</t>
  </si>
  <si>
    <t>New labs, data centres or equipment. Reaches profit through depreciation and interest (row 118).</t>
  </si>
  <si>
    <t>Electricity tariff change (%)</t>
  </si>
  <si>
    <t>Enter the expected change in power tariffs.</t>
  </si>
  <si>
    <t>Fuel price change (%)</t>
  </si>
  <si>
    <t>Brent is $104.43 against a peak of $120.88 on 30 Apr 2026, so the Q1 base margin already carries high fuel costs. Enter the change from the Q1 level.</t>
  </si>
  <si>
    <t>Hardware, licence and material cost change (%)</t>
  </si>
  <si>
    <t>Covers software licences and hardware resold in the Technology Solutions segment (about 22% of revenue) and project materials. Much of it is dollar-priced, so a weak rupee pushes it up.</t>
  </si>
  <si>
    <t>Rent and facility cost change (%)</t>
  </si>
  <si>
    <t>Lease renewals, building and maintenance costs.</t>
  </si>
  <si>
    <t>Wage hike above base (%)</t>
  </si>
  <si>
    <t>Enter the average hike beyond what is already in the Q1 FY27 base. With CPI heading towards 6%, this is the main cost risk: each 1% adds about ₹33 cr.</t>
  </si>
  <si>
    <t>Attrition change (pp)</t>
  </si>
  <si>
    <t>Trailing attrition was 16.0% in Q1 FY27 against 16.2% in Q4 FY26. Lower attrition signals better job security and saves rehiring and training cost. Headcount 12,579.</t>
  </si>
  <si>
    <t>General inflation on other costs (%)</t>
  </si>
  <si>
    <t>Enter cost inflation on other overheads beyond the base.</t>
  </si>
  <si>
    <t>Order wins from bidding, extra revenue (%)</t>
  </si>
  <si>
    <t>Revenue from new deals beyond the growth in row 18, earned at the base margin. The company cites large-deal ramp-ups; non-anchor automotive revenue grew 56% YoY in Q1 FY27.</t>
  </si>
  <si>
    <t>Bid price discount (%)</t>
  </si>
  <si>
    <t>Winning work by cutting price: revenue falls with no cost saving, so almost all of it comes off EBITDA (row 113).</t>
  </si>
  <si>
    <t>Rupee depreciation vs Q1 FY27 base (%)</t>
  </si>
  <si>
    <t>USD/INR of 96.74 now against 94.9 implied in Q1 FY27 (₹16,646 mn of revenue = $175.4 mn). Type a number over the formula to override.</t>
  </si>
  <si>
    <t>Change in effective tax rate (pp)</t>
  </si>
  <si>
    <t>Enter a positive number for a higher rate (new levy, loss of a concession, change of regime) or a negative one for a cut. Each 1 pp moves PAT by about 1.4%.</t>
  </si>
  <si>
    <t>One-off costs (₹ cr)</t>
  </si>
  <si>
    <t>FY26 carried a one-off labour-code charge in Q3, partly reversed in Q4. Enter any one-off you expect.</t>
  </si>
  <si>
    <t>G. COST IMPACT ON FY27E EBITDA (₹ cr; plus = extra cost, minus = gain)</t>
  </si>
  <si>
    <t>Base operating cost (₹ cr)</t>
  </si>
  <si>
    <t>Revenue less base EBITDA.</t>
  </si>
  <si>
    <t>Employee cost impact</t>
  </si>
  <si>
    <t>Employee cost base x (wage hike + attrition change x row 147).</t>
  </si>
  <si>
    <t>Data centre and cloud impact</t>
  </si>
  <si>
    <t>Rises with work from home.</t>
  </si>
  <si>
    <t>Electricity impact</t>
  </si>
  <si>
    <t>Tariff change plus extra load from work from home.</t>
  </si>
  <si>
    <t>Facility and rent impact</t>
  </si>
  <si>
    <t>Rent change, less office space released by work from home.</t>
  </si>
  <si>
    <t>Hardware, licence and material impact</t>
  </si>
  <si>
    <t>Cost line share x price change.</t>
  </si>
  <si>
    <t>Travel and fuel impact</t>
  </si>
  <si>
    <t>Only the fuel-linked part of travel moves with fuel prices.</t>
  </si>
  <si>
    <t>Other cost inflation impact</t>
  </si>
  <si>
    <t>Cost line share x inflation.</t>
  </si>
  <si>
    <t>Bid discount, costs not saved</t>
  </si>
  <si>
    <t>Adds back the cost that does not fall when price is cut.</t>
  </si>
  <si>
    <t>Currency effect</t>
  </si>
  <si>
    <t>Negative = gain. Rupee depreciation x margin gain per 1% (row 152).</t>
  </si>
  <si>
    <t>One-off costs</t>
  </si>
  <si>
    <t>From row 103.</t>
  </si>
  <si>
    <t>Net cost impact on EBITDA (₹ cr)</t>
  </si>
  <si>
    <t>Negative = net gain. The default shows the rupee benefit and slightly lower attrition; every other driver starts at 0.</t>
  </si>
  <si>
    <t>Extra capex, total (₹ cr)</t>
  </si>
  <si>
    <t>Direct capex plus capex triggered by work from home.</t>
  </si>
  <si>
    <t>Extra depreciation and interest (₹ cr)</t>
  </si>
  <si>
    <t>Capex spread over its useful life, plus interest on the debt-funded part.</t>
  </si>
  <si>
    <t>H. IMPACT OF EACH FACTOR ON FY27E P/E (%)</t>
  </si>
  <si>
    <t>Market, Sensex and Nifty x beta</t>
  </si>
  <si>
    <t>Sensex +0.7% and Nifty +0.8% since FY26 end.</t>
  </si>
  <si>
    <t>Sector</t>
  </si>
  <si>
    <t>From row 72.</t>
  </si>
  <si>
    <t>Interest rates</t>
  </si>
  <si>
    <t>+25 bps so far in FY27.</t>
  </si>
  <si>
    <t>Inflation</t>
  </si>
  <si>
    <t>5.2% against a 4% comfort level.</t>
  </si>
  <si>
    <t>GDP growth</t>
  </si>
  <si>
    <t>7.1% against a 6.5% trend.</t>
  </si>
  <si>
    <t>Crude oil</t>
  </si>
  <si>
    <t>Brent is about 2% below its FY26-end level.</t>
  </si>
  <si>
    <t>Investor sentiment</t>
  </si>
  <si>
    <t>Score x effect per point.</t>
  </si>
  <si>
    <t>Institutional flows</t>
  </si>
  <si>
    <t>FII + DII stake up 1.57 pp since March 2026.</t>
  </si>
  <si>
    <t>Delivery</t>
  </si>
  <si>
    <t>Delivery above or below the benchmark.</t>
  </si>
  <si>
    <t>Chart pattern x volume</t>
  </si>
  <si>
    <t>Chart score, amplified by volume up to 2x.</t>
  </si>
  <si>
    <t>Events</t>
  </si>
  <si>
    <t>From row 86.</t>
  </si>
  <si>
    <t>Valuation gap to peers</t>
  </si>
  <si>
    <t>Share of the gap closed x size of the gap.</t>
  </si>
  <si>
    <t>Total impact on P/E (%)</t>
  </si>
  <si>
    <t>Near zero at the defaults: the rate hike and inflation roughly cancel GDP, the market move and institutional buying.</t>
  </si>
  <si>
    <t>Opening P/E, FY26 end (x)</t>
  </si>
  <si>
    <t>Each year opens where the last one closed.</t>
  </si>
  <si>
    <t>Closing P/E, FY27E (x)</t>
  </si>
  <si>
    <t>Opening P/E re-rated by the total impact.</t>
  </si>
  <si>
    <t>Model share price, FY27E (₹)</t>
  </si>
  <si>
    <t>FY27E EPS x closing P/E.</t>
  </si>
  <si>
    <t>Model valuation, market cap (₹ cr)</t>
  </si>
  <si>
    <t>Model price x shares.</t>
  </si>
  <si>
    <t>PEG ratio</t>
  </si>
  <si>
    <t>P/E divided by EPS growth %.</t>
  </si>
  <si>
    <t>Premium to peer P/E (%)</t>
  </si>
  <si>
    <t>How far the model P/E sits above peers.</t>
  </si>
  <si>
    <t>I. SENSITIVITIES (values in column B; my assumptions, edit freely)</t>
  </si>
  <si>
    <t>Data centre and cloud (% of operating cost)</t>
  </si>
  <si>
    <t>Assumption</t>
  </si>
  <si>
    <t>Cost mix is my estimate; the company does not publish this split.</t>
  </si>
  <si>
    <t>Electricity (% of operating cost)</t>
  </si>
  <si>
    <t>Estimate.</t>
  </si>
  <si>
    <t>Office facilities and rent (% of operating cost)</t>
  </si>
  <si>
    <t>Data centre cost change per +10 pp WFH (%)</t>
  </si>
  <si>
    <t>Electricity change per +10 pp WFH (%)</t>
  </si>
  <si>
    <t>Facility cost change per +10 pp WFH (%)</t>
  </si>
  <si>
    <t>Capex per +10 pp WFH (₹ cr)</t>
  </si>
  <si>
    <t>Roughly 1,250 staff x ₹1.2 lakh of equipment and remote-access infrastructure.</t>
  </si>
  <si>
    <t>Employee cost change per +1 pp attrition (%)</t>
  </si>
  <si>
    <t>Rehiring, training and lost productivity.</t>
  </si>
  <si>
    <t>Hardware, licences and materials (% of operating cost)</t>
  </si>
  <si>
    <t>Estimate, reflecting the resale-heavy Technology Solutions segment.</t>
  </si>
  <si>
    <t>Travel and fuel (% of operating cost)</t>
  </si>
  <si>
    <t>Fuel share of travel line (%)</t>
  </si>
  <si>
    <t>Other costs (% of operating cost)</t>
  </si>
  <si>
    <t>EBITDA margin gain per 1% rupee depreciation (pp)</t>
  </si>
  <si>
    <t>Common rule of thumb for Indian IT exporters; lower if much of the revenue is earned in India.</t>
  </si>
  <si>
    <t>Useful life of capex (years)</t>
  </si>
  <si>
    <t>Share of capex funded by debt (%)</t>
  </si>
  <si>
    <t>Interest rate on debt (%)</t>
  </si>
  <si>
    <t>Beta vs market</t>
  </si>
  <si>
    <t>Replace with the stock's measured beta.</t>
  </si>
  <si>
    <t>Sensex weight, rest is Nifty (%)</t>
  </si>
  <si>
    <t>Equal weight to both indices.</t>
  </si>
  <si>
    <t>P/E effect per +1 pp repo rate (%)</t>
  </si>
  <si>
    <t>Inflation comfort level (%)</t>
  </si>
  <si>
    <t>RBI's target midpoint.</t>
  </si>
  <si>
    <t>P/E effect per +1 pp inflation above comfort (%)</t>
  </si>
  <si>
    <t>GDP trend growth (%)</t>
  </si>
  <si>
    <t>P/E effect per +1 pp GDP above trend (%)</t>
  </si>
  <si>
    <t>P/E effect of a 100% rise in crude (%)</t>
  </si>
  <si>
    <t>P/E effect per sentiment point (%)</t>
  </si>
  <si>
    <t>P/E effect per +1 pp institutional holding (%)</t>
  </si>
  <si>
    <t>Delivery benchmark (%)</t>
  </si>
  <si>
    <t>P/E effect per +1 pp delivery above benchmark (%)</t>
  </si>
  <si>
    <t>P/E effect per chart point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</si>
</sst>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>
      <c r="A3" s="1" t="s">
        <v>8</v>
      </c>
    </row>
    <row r="4">
      <c r="A4" s="1" t="s">
        <v>9</v>
      </c>
      <c r="B4" s="1">
        <v>500.0</v>
      </c>
      <c r="F4" s="1" t="s">
        <v>10</v>
      </c>
      <c r="G4" s="1" t="s">
        <v>11</v>
      </c>
    </row>
    <row r="5">
      <c r="A5" s="1" t="s">
        <v>12</v>
      </c>
      <c r="B5" s="1">
        <v>3042.51</v>
      </c>
      <c r="F5" s="1" t="s">
        <v>10</v>
      </c>
      <c r="G5" s="1" t="s">
        <v>13</v>
      </c>
    </row>
    <row r="6">
      <c r="A6" s="1" t="s">
        <v>14</v>
      </c>
      <c r="B6" s="2">
        <f>ROUND(B5/B4,3)</f>
        <v>6.085</v>
      </c>
      <c r="F6" s="1" t="s">
        <v>15</v>
      </c>
      <c r="G6" s="1" t="s">
        <v>16</v>
      </c>
    </row>
    <row r="7">
      <c r="A7" s="1" t="s">
        <v>17</v>
      </c>
      <c r="B7" s="1">
        <v>69.43</v>
      </c>
      <c r="F7" s="1" t="s">
        <v>10</v>
      </c>
      <c r="G7" s="1" t="s">
        <v>18</v>
      </c>
    </row>
    <row r="8">
      <c r="A8" s="1" t="s">
        <v>19</v>
      </c>
      <c r="B8" s="1">
        <v>1200.0</v>
      </c>
      <c r="F8" s="1" t="s">
        <v>10</v>
      </c>
      <c r="G8" s="1" t="s">
        <v>20</v>
      </c>
    </row>
    <row r="9">
      <c r="A9" s="1" t="s">
        <v>21</v>
      </c>
      <c r="B9" s="2">
        <f>ROUND((B8/B4-1)*100,1)</f>
        <v>140</v>
      </c>
      <c r="F9" s="1" t="s">
        <v>15</v>
      </c>
      <c r="G9" s="1" t="s">
        <v>22</v>
      </c>
    </row>
    <row r="10">
      <c r="A10" s="1" t="s">
        <v>23</v>
      </c>
      <c r="B10" s="1">
        <v>40.57</v>
      </c>
      <c r="F10" s="1" t="s">
        <v>10</v>
      </c>
      <c r="G10" s="1" t="s">
        <v>24</v>
      </c>
    </row>
    <row r="11">
      <c r="A11" s="1" t="s">
        <v>25</v>
      </c>
      <c r="B11" s="2">
        <f>ROUND(B4*B10,0)</f>
        <v>20285</v>
      </c>
      <c r="F11" s="1" t="s">
        <v>15</v>
      </c>
      <c r="G11" s="1" t="s">
        <v>26</v>
      </c>
    </row>
    <row r="12">
      <c r="A12" s="1" t="s">
        <v>27</v>
      </c>
      <c r="B12" s="2">
        <f>ROUND(B8*B10,0)</f>
        <v>48684</v>
      </c>
      <c r="F12" s="1" t="s">
        <v>15</v>
      </c>
      <c r="G12" s="1" t="s">
        <v>28</v>
      </c>
    </row>
    <row r="13">
      <c r="A13" s="1" t="s">
        <v>29</v>
      </c>
      <c r="B13" s="1">
        <v>624.0</v>
      </c>
      <c r="F13" s="1" t="s">
        <v>10</v>
      </c>
      <c r="G13" s="1" t="s">
        <v>30</v>
      </c>
    </row>
    <row r="14">
      <c r="A14" s="1" t="s">
        <v>31</v>
      </c>
      <c r="B14" s="2">
        <f>ROUND(B11/B13,1)</f>
        <v>32.5</v>
      </c>
      <c r="F14" s="1" t="s">
        <v>15</v>
      </c>
      <c r="G14" s="1" t="s">
        <v>32</v>
      </c>
    </row>
    <row r="15">
      <c r="A15" s="1" t="s">
        <v>33</v>
      </c>
      <c r="B15" s="2">
        <f>ROUND(B12/B13,1)</f>
        <v>78</v>
      </c>
      <c r="F15" s="1" t="s">
        <v>15</v>
      </c>
      <c r="G15" s="1" t="s">
        <v>34</v>
      </c>
    </row>
    <row r="16">
      <c r="A16" s="1" t="s">
        <v>35</v>
      </c>
    </row>
    <row r="17">
      <c r="A17" s="1" t="s">
        <v>36</v>
      </c>
      <c r="B17" s="1">
        <v>5117.2</v>
      </c>
      <c r="C17" s="1">
        <v>5168.45</v>
      </c>
      <c r="D17" s="1">
        <v>5505.57</v>
      </c>
      <c r="E17" s="2">
        <f>ROUND(D17*(1+E18/100)*(1+E99/100)*(1-E100/100),2)</f>
        <v>6606.68</v>
      </c>
      <c r="F17" s="1" t="s">
        <v>37</v>
      </c>
      <c r="G17" s="1" t="s">
        <v>38</v>
      </c>
    </row>
    <row r="18">
      <c r="A18" s="1" t="s">
        <v>39</v>
      </c>
      <c r="B18" s="2">
        <f>ROUND((B17/4414-1)*100,1)</f>
        <v>15.9</v>
      </c>
      <c r="C18" s="2">
        <f t="shared" ref="C18:D18" si="1">ROUND((C17/B17-1)*100,1)</f>
        <v>1</v>
      </c>
      <c r="D18" s="2">
        <f t="shared" si="1"/>
        <v>6.5</v>
      </c>
      <c r="E18" s="1">
        <v>20.0</v>
      </c>
      <c r="F18" s="1" t="s">
        <v>40</v>
      </c>
      <c r="G18" s="1" t="s">
        <v>41</v>
      </c>
    </row>
    <row r="19">
      <c r="A19" s="1" t="s">
        <v>42</v>
      </c>
      <c r="B19" s="1">
        <v>941.0</v>
      </c>
      <c r="C19" s="1">
        <v>934.05</v>
      </c>
      <c r="D19" s="1">
        <v>852.96</v>
      </c>
      <c r="E19" s="2">
        <f>ROUND(E17*E21/100-E116,2)</f>
        <v>1097.69</v>
      </c>
      <c r="F19" s="1" t="s">
        <v>37</v>
      </c>
      <c r="G19" s="1" t="s">
        <v>43</v>
      </c>
    </row>
    <row r="20">
      <c r="A20" s="1" t="s">
        <v>44</v>
      </c>
      <c r="B20" s="2">
        <f t="shared" ref="B20:E20" si="2">ROUND(B19/B17*100,1)</f>
        <v>18.4</v>
      </c>
      <c r="C20" s="2">
        <f t="shared" si="2"/>
        <v>18.1</v>
      </c>
      <c r="D20" s="2">
        <f t="shared" si="2"/>
        <v>15.5</v>
      </c>
      <c r="E20" s="2">
        <f t="shared" si="2"/>
        <v>16.6</v>
      </c>
      <c r="F20" s="1" t="s">
        <v>15</v>
      </c>
      <c r="G20" s="1" t="s">
        <v>45</v>
      </c>
    </row>
    <row r="21">
      <c r="A21" s="1" t="s">
        <v>46</v>
      </c>
      <c r="E21" s="1">
        <v>16.1</v>
      </c>
      <c r="F21" s="1" t="s">
        <v>47</v>
      </c>
      <c r="G21" s="1" t="s">
        <v>48</v>
      </c>
    </row>
    <row r="22">
      <c r="A22" s="1" t="s">
        <v>49</v>
      </c>
      <c r="B22" s="1">
        <v>679.37</v>
      </c>
      <c r="C22" s="1">
        <v>676.95</v>
      </c>
      <c r="D22" s="1">
        <v>546.59</v>
      </c>
      <c r="E22" s="2">
        <f>ROUND((E19*E23/100-E118)*(1-E102/(100-D25)),2)</f>
        <v>742.04</v>
      </c>
      <c r="F22" s="1" t="s">
        <v>37</v>
      </c>
      <c r="G22" s="1" t="s">
        <v>50</v>
      </c>
    </row>
    <row r="23">
      <c r="A23" s="1" t="s">
        <v>51</v>
      </c>
      <c r="B23" s="2">
        <f t="shared" ref="B23:D23" si="3">ROUND(B22/B19*100,1)</f>
        <v>72.2</v>
      </c>
      <c r="C23" s="2">
        <f t="shared" si="3"/>
        <v>72.5</v>
      </c>
      <c r="D23" s="2">
        <f t="shared" si="3"/>
        <v>64.1</v>
      </c>
      <c r="E23" s="1">
        <v>67.6</v>
      </c>
      <c r="F23" s="1" t="s">
        <v>40</v>
      </c>
      <c r="G23" s="1" t="s">
        <v>52</v>
      </c>
    </row>
    <row r="24">
      <c r="A24" s="1" t="s">
        <v>53</v>
      </c>
      <c r="C24" s="1">
        <v>244.45</v>
      </c>
      <c r="D24" s="1">
        <v>218.13</v>
      </c>
      <c r="F24" s="1" t="s">
        <v>10</v>
      </c>
      <c r="G24" s="1" t="s">
        <v>54</v>
      </c>
    </row>
    <row r="25">
      <c r="A25" s="1" t="s">
        <v>55</v>
      </c>
      <c r="C25" s="2">
        <f t="shared" ref="C25:D25" si="4">ROUND(C24/(C22+C24)*100,1)</f>
        <v>26.5</v>
      </c>
      <c r="D25" s="2">
        <f t="shared" si="4"/>
        <v>28.5</v>
      </c>
      <c r="E25" s="2">
        <f>D25+E102</f>
        <v>28.5</v>
      </c>
      <c r="F25" s="1" t="s">
        <v>15</v>
      </c>
      <c r="G25" s="1" t="s">
        <v>56</v>
      </c>
    </row>
    <row r="26">
      <c r="A26" s="1" t="s">
        <v>57</v>
      </c>
      <c r="C26" s="1">
        <v>2488.93</v>
      </c>
      <c r="D26" s="1">
        <v>2737.42</v>
      </c>
      <c r="E26" s="2">
        <f>ROUND(E17*D27/100+E106,2)</f>
        <v>3282.87</v>
      </c>
      <c r="F26" s="1" t="s">
        <v>37</v>
      </c>
      <c r="G26" s="1" t="s">
        <v>58</v>
      </c>
    </row>
    <row r="27">
      <c r="A27" s="1" t="s">
        <v>59</v>
      </c>
      <c r="C27" s="2">
        <f t="shared" ref="C27:E27" si="5">ROUND(C26/C17*100,2)</f>
        <v>48.16</v>
      </c>
      <c r="D27" s="2">
        <f t="shared" si="5"/>
        <v>49.72</v>
      </c>
      <c r="E27" s="2">
        <f t="shared" si="5"/>
        <v>49.69</v>
      </c>
      <c r="F27" s="1" t="s">
        <v>15</v>
      </c>
      <c r="G27" s="1" t="s">
        <v>60</v>
      </c>
    </row>
    <row r="28">
      <c r="A28" s="1" t="s">
        <v>61</v>
      </c>
      <c r="B28" s="1">
        <v>40.57</v>
      </c>
      <c r="C28" s="1">
        <v>40.57</v>
      </c>
      <c r="D28" s="1">
        <v>40.6</v>
      </c>
      <c r="E28" s="2">
        <f>D28</f>
        <v>40.6</v>
      </c>
      <c r="F28" s="1" t="s">
        <v>10</v>
      </c>
      <c r="G28" s="1" t="s">
        <v>62</v>
      </c>
    </row>
    <row r="29">
      <c r="A29" s="1" t="s">
        <v>63</v>
      </c>
      <c r="B29" s="2">
        <f t="shared" ref="B29:E29" si="6">ROUND(B22/B28,2)</f>
        <v>16.75</v>
      </c>
      <c r="C29" s="2">
        <f t="shared" si="6"/>
        <v>16.69</v>
      </c>
      <c r="D29" s="2">
        <f t="shared" si="6"/>
        <v>13.46</v>
      </c>
      <c r="E29" s="2">
        <f t="shared" si="6"/>
        <v>18.28</v>
      </c>
      <c r="F29" s="1" t="s">
        <v>15</v>
      </c>
      <c r="G29" s="1" t="s">
        <v>64</v>
      </c>
    </row>
    <row r="30">
      <c r="A30" s="1" t="s">
        <v>65</v>
      </c>
      <c r="B30" s="1">
        <v>10.05</v>
      </c>
      <c r="C30" s="1">
        <v>11.7</v>
      </c>
      <c r="D30" s="1">
        <v>11.7</v>
      </c>
      <c r="E30" s="2">
        <f>ROUND(E29*E31/100,2)</f>
        <v>14.62</v>
      </c>
      <c r="F30" s="1" t="s">
        <v>37</v>
      </c>
      <c r="G30" s="1" t="s">
        <v>66</v>
      </c>
    </row>
    <row r="31">
      <c r="A31" s="1" t="s">
        <v>67</v>
      </c>
      <c r="B31" s="2">
        <f t="shared" ref="B31:D31" si="7">ROUND(B30/B29*100,1)</f>
        <v>60</v>
      </c>
      <c r="C31" s="2">
        <f t="shared" si="7"/>
        <v>70.1</v>
      </c>
      <c r="D31" s="2">
        <f t="shared" si="7"/>
        <v>86.9</v>
      </c>
      <c r="E31" s="1">
        <v>80.0</v>
      </c>
      <c r="F31" s="1" t="s">
        <v>40</v>
      </c>
      <c r="G31" s="1" t="s">
        <v>68</v>
      </c>
    </row>
    <row r="32">
      <c r="A32" s="1" t="s">
        <v>69</v>
      </c>
      <c r="B32" s="1">
        <v>3221.0</v>
      </c>
      <c r="C32" s="1">
        <v>3579.42</v>
      </c>
      <c r="D32" s="1">
        <v>3923.37</v>
      </c>
      <c r="E32" s="2">
        <f>ROUND(D32+E22-E30*E28,2)</f>
        <v>4071.84</v>
      </c>
      <c r="F32" s="1" t="s">
        <v>37</v>
      </c>
      <c r="G32" s="1" t="s">
        <v>70</v>
      </c>
    </row>
    <row r="33">
      <c r="A33" s="1" t="s">
        <v>71</v>
      </c>
      <c r="B33" s="2">
        <f t="shared" ref="B33:E33" si="8">ROUND(B32/B28,2)</f>
        <v>79.39</v>
      </c>
      <c r="C33" s="2">
        <f t="shared" si="8"/>
        <v>88.23</v>
      </c>
      <c r="D33" s="2">
        <f t="shared" si="8"/>
        <v>96.63</v>
      </c>
      <c r="E33" s="2">
        <f t="shared" si="8"/>
        <v>100.29</v>
      </c>
      <c r="F33" s="1" t="s">
        <v>15</v>
      </c>
      <c r="G33" s="1" t="s">
        <v>72</v>
      </c>
    </row>
    <row r="34">
      <c r="A34" s="1" t="s">
        <v>73</v>
      </c>
      <c r="B34" s="2">
        <f t="shared" ref="B34:E34" si="9">ROUND(B22/B32*100,1)</f>
        <v>21.1</v>
      </c>
      <c r="C34" s="2">
        <f t="shared" si="9"/>
        <v>18.9</v>
      </c>
      <c r="D34" s="2">
        <f t="shared" si="9"/>
        <v>13.9</v>
      </c>
      <c r="E34" s="2">
        <f t="shared" si="9"/>
        <v>18.2</v>
      </c>
      <c r="F34" s="1" t="s">
        <v>15</v>
      </c>
      <c r="G34" s="1" t="s">
        <v>74</v>
      </c>
    </row>
    <row r="35">
      <c r="A35" s="1" t="s">
        <v>75</v>
      </c>
      <c r="B35" s="1">
        <v>0.0</v>
      </c>
      <c r="C35" s="1">
        <v>0.0</v>
      </c>
      <c r="D35" s="1">
        <v>665.56</v>
      </c>
      <c r="E35" s="2">
        <f>D35</f>
        <v>665.56</v>
      </c>
      <c r="F35" s="1" t="s">
        <v>10</v>
      </c>
      <c r="G35" s="1" t="s">
        <v>76</v>
      </c>
    </row>
    <row r="36">
      <c r="A36" s="1" t="s">
        <v>77</v>
      </c>
      <c r="C36" s="1">
        <v>1804.54</v>
      </c>
      <c r="D36" s="1">
        <v>698.0</v>
      </c>
      <c r="E36" s="1">
        <v>880.0</v>
      </c>
      <c r="F36" s="1" t="s">
        <v>10</v>
      </c>
      <c r="G36" s="1" t="s">
        <v>78</v>
      </c>
    </row>
    <row r="37">
      <c r="A37" s="1" t="s">
        <v>79</v>
      </c>
      <c r="B37" s="2">
        <f t="shared" ref="B37:E37" si="10">ROUND(B35/B32,2)</f>
        <v>0</v>
      </c>
      <c r="C37" s="2">
        <f t="shared" si="10"/>
        <v>0</v>
      </c>
      <c r="D37" s="2">
        <f t="shared" si="10"/>
        <v>0.17</v>
      </c>
      <c r="E37" s="2">
        <f t="shared" si="10"/>
        <v>0.16</v>
      </c>
      <c r="F37" s="1" t="s">
        <v>15</v>
      </c>
      <c r="G37" s="1" t="s">
        <v>80</v>
      </c>
    </row>
    <row r="38">
      <c r="A38" s="1" t="s">
        <v>81</v>
      </c>
    </row>
    <row r="39">
      <c r="A39" s="1" t="s">
        <v>82</v>
      </c>
      <c r="B39" s="1">
        <v>1022.0</v>
      </c>
      <c r="C39" s="1">
        <v>676.0</v>
      </c>
      <c r="D39" s="1">
        <v>509.0</v>
      </c>
      <c r="E39" s="2">
        <f>E135</f>
        <v>690.62</v>
      </c>
      <c r="F39" s="1" t="s">
        <v>83</v>
      </c>
      <c r="G39" s="1" t="s">
        <v>84</v>
      </c>
    </row>
    <row r="40">
      <c r="A40" s="1" t="s">
        <v>85</v>
      </c>
      <c r="B40" s="2">
        <f t="shared" ref="B40:E40" si="11">ROUND(B39*B28,0)</f>
        <v>41463</v>
      </c>
      <c r="C40" s="2">
        <f t="shared" si="11"/>
        <v>27425</v>
      </c>
      <c r="D40" s="2">
        <f t="shared" si="11"/>
        <v>20665</v>
      </c>
      <c r="E40" s="2">
        <f t="shared" si="11"/>
        <v>28039</v>
      </c>
      <c r="F40" s="1" t="s">
        <v>15</v>
      </c>
      <c r="G40" s="1" t="s">
        <v>86</v>
      </c>
    </row>
    <row r="41">
      <c r="A41" s="1" t="s">
        <v>87</v>
      </c>
      <c r="B41" s="2">
        <f t="shared" ref="B41:E41" si="12">ROUND(B39/B29,1)</f>
        <v>61</v>
      </c>
      <c r="C41" s="2">
        <f t="shared" si="12"/>
        <v>40.5</v>
      </c>
      <c r="D41" s="2">
        <f t="shared" si="12"/>
        <v>37.8</v>
      </c>
      <c r="E41" s="2">
        <f t="shared" si="12"/>
        <v>37.8</v>
      </c>
      <c r="F41" s="1" t="s">
        <v>15</v>
      </c>
      <c r="G41" s="1" t="s">
        <v>88</v>
      </c>
    </row>
    <row r="42">
      <c r="A42" s="1" t="s">
        <v>89</v>
      </c>
      <c r="B42" s="2">
        <f t="shared" ref="B42:E42" si="13">ROUND(B39/B33,2)</f>
        <v>12.87</v>
      </c>
      <c r="C42" s="2">
        <f t="shared" si="13"/>
        <v>7.66</v>
      </c>
      <c r="D42" s="2">
        <f t="shared" si="13"/>
        <v>5.27</v>
      </c>
      <c r="E42" s="2">
        <f t="shared" si="13"/>
        <v>6.89</v>
      </c>
      <c r="F42" s="1" t="s">
        <v>15</v>
      </c>
      <c r="G42" s="1" t="s">
        <v>90</v>
      </c>
    </row>
    <row r="43">
      <c r="A43" s="1" t="s">
        <v>91</v>
      </c>
      <c r="C43" s="2">
        <f t="shared" ref="C43:E43" si="14">ROUND((C40-C36)/C19,1)</f>
        <v>27.4</v>
      </c>
      <c r="D43" s="2">
        <f t="shared" si="14"/>
        <v>23.4</v>
      </c>
      <c r="E43" s="2">
        <f t="shared" si="14"/>
        <v>24.7</v>
      </c>
      <c r="F43" s="1" t="s">
        <v>15</v>
      </c>
      <c r="G43" s="1" t="s">
        <v>92</v>
      </c>
    </row>
    <row r="44">
      <c r="A44" s="1" t="s">
        <v>93</v>
      </c>
      <c r="B44" s="2">
        <f t="shared" ref="B44:E44" si="15">ROUND(B30/B39*100,2)</f>
        <v>0.98</v>
      </c>
      <c r="C44" s="2">
        <f t="shared" si="15"/>
        <v>1.73</v>
      </c>
      <c r="D44" s="2">
        <f t="shared" si="15"/>
        <v>2.3</v>
      </c>
      <c r="E44" s="2">
        <f t="shared" si="15"/>
        <v>2.12</v>
      </c>
      <c r="F44" s="1" t="s">
        <v>15</v>
      </c>
      <c r="G44" s="1" t="s">
        <v>94</v>
      </c>
    </row>
    <row r="45">
      <c r="A45" s="1" t="s">
        <v>95</v>
      </c>
      <c r="B45" s="2">
        <f>ROUND((B39/B8-1)*100,1)</f>
        <v>-14.8</v>
      </c>
      <c r="C45" s="2">
        <f t="shared" ref="C45:E45" si="16">ROUND((C39/B39-1)*100,1)</f>
        <v>-33.9</v>
      </c>
      <c r="D45" s="2">
        <f t="shared" si="16"/>
        <v>-24.7</v>
      </c>
      <c r="E45" s="2">
        <f t="shared" si="16"/>
        <v>35.7</v>
      </c>
      <c r="F45" s="1" t="s">
        <v>15</v>
      </c>
      <c r="G45" s="1" t="s">
        <v>96</v>
      </c>
    </row>
    <row r="46">
      <c r="A46" s="1" t="s">
        <v>97</v>
      </c>
      <c r="B46" s="2">
        <f t="shared" ref="B46:E46" si="17">ROUND((B39/$B$4-1)*100,1)</f>
        <v>104.4</v>
      </c>
      <c r="C46" s="2">
        <f t="shared" si="17"/>
        <v>35.2</v>
      </c>
      <c r="D46" s="2">
        <f t="shared" si="17"/>
        <v>1.8</v>
      </c>
      <c r="E46" s="2">
        <f t="shared" si="17"/>
        <v>38.1</v>
      </c>
      <c r="F46" s="1" t="s">
        <v>15</v>
      </c>
      <c r="G46" s="1" t="s">
        <v>98</v>
      </c>
    </row>
    <row r="47">
      <c r="A47" s="1" t="s">
        <v>99</v>
      </c>
      <c r="B47" s="2">
        <f>ROUND((B29/(B13/B10)-1)*100,1)</f>
        <v>8.9</v>
      </c>
      <c r="C47" s="2">
        <f t="shared" ref="C47:E47" si="18">ROUND((C29/B29-1)*100,1)</f>
        <v>-0.4</v>
      </c>
      <c r="D47" s="2">
        <f t="shared" si="18"/>
        <v>-19.4</v>
      </c>
      <c r="E47" s="2">
        <f t="shared" si="18"/>
        <v>35.8</v>
      </c>
      <c r="F47" s="1" t="s">
        <v>15</v>
      </c>
      <c r="G47" s="1" t="s">
        <v>100</v>
      </c>
    </row>
    <row r="48">
      <c r="A48" s="1" t="s">
        <v>101</v>
      </c>
      <c r="B48" s="2">
        <f>ROUND((B41/B15-1)*100,1)</f>
        <v>-21.8</v>
      </c>
      <c r="C48" s="2">
        <f t="shared" ref="C48:E48" si="19">ROUND((C41/B41-1)*100,1)</f>
        <v>-33.6</v>
      </c>
      <c r="D48" s="2">
        <f t="shared" si="19"/>
        <v>-6.7</v>
      </c>
      <c r="E48" s="2">
        <f t="shared" si="19"/>
        <v>0</v>
      </c>
      <c r="F48" s="1" t="s">
        <v>15</v>
      </c>
      <c r="G48" s="1" t="s">
        <v>102</v>
      </c>
    </row>
    <row r="49">
      <c r="A49" s="1" t="s">
        <v>103</v>
      </c>
      <c r="B49" s="1">
        <v>66988.44</v>
      </c>
      <c r="C49" s="2">
        <f t="shared" ref="C49:E49" si="20">B50</f>
        <v>73651.35</v>
      </c>
      <c r="D49" s="2">
        <f t="shared" si="20"/>
        <v>77414.92</v>
      </c>
      <c r="E49" s="2">
        <f t="shared" si="20"/>
        <v>71947.55</v>
      </c>
      <c r="F49" s="1" t="s">
        <v>10</v>
      </c>
      <c r="G49" s="1" t="s">
        <v>104</v>
      </c>
    </row>
    <row r="50">
      <c r="A50" s="1" t="s">
        <v>105</v>
      </c>
      <c r="B50" s="1">
        <v>73651.35</v>
      </c>
      <c r="C50" s="1">
        <v>77414.92</v>
      </c>
      <c r="D50" s="1">
        <v>71947.55</v>
      </c>
      <c r="E50" s="1">
        <v>72472.33</v>
      </c>
      <c r="F50" s="1" t="s">
        <v>106</v>
      </c>
      <c r="G50" s="1" t="s">
        <v>107</v>
      </c>
    </row>
    <row r="51">
      <c r="A51" s="1" t="s">
        <v>108</v>
      </c>
      <c r="B51" s="1">
        <v>20133.15</v>
      </c>
      <c r="C51" s="2">
        <f t="shared" ref="C51:E51" si="21">B52</f>
        <v>22326.9</v>
      </c>
      <c r="D51" s="2">
        <f t="shared" si="21"/>
        <v>23519.35</v>
      </c>
      <c r="E51" s="2">
        <f t="shared" si="21"/>
        <v>22331.4</v>
      </c>
      <c r="F51" s="1" t="s">
        <v>10</v>
      </c>
      <c r="G51" s="1" t="s">
        <v>109</v>
      </c>
    </row>
    <row r="52">
      <c r="A52" s="1" t="s">
        <v>110</v>
      </c>
      <c r="B52" s="1">
        <v>22326.9</v>
      </c>
      <c r="C52" s="1">
        <v>23519.35</v>
      </c>
      <c r="D52" s="1">
        <v>22331.4</v>
      </c>
      <c r="E52" s="1">
        <v>22520.45</v>
      </c>
      <c r="F52" s="1" t="s">
        <v>106</v>
      </c>
      <c r="G52" s="1" t="s">
        <v>111</v>
      </c>
    </row>
    <row r="53">
      <c r="A53" s="1" t="s">
        <v>112</v>
      </c>
      <c r="B53" s="2">
        <f t="shared" ref="B53:E53" si="22">ROUND((B50/B49-1)*100,2)</f>
        <v>9.95</v>
      </c>
      <c r="C53" s="2">
        <f t="shared" si="22"/>
        <v>5.11</v>
      </c>
      <c r="D53" s="2">
        <f t="shared" si="22"/>
        <v>-7.06</v>
      </c>
      <c r="E53" s="2">
        <f t="shared" si="22"/>
        <v>0.73</v>
      </c>
      <c r="F53" s="1" t="s">
        <v>15</v>
      </c>
      <c r="G53" s="1" t="s">
        <v>113</v>
      </c>
    </row>
    <row r="54">
      <c r="A54" s="1" t="s">
        <v>114</v>
      </c>
      <c r="B54" s="2">
        <f t="shared" ref="B54:E54" si="23">ROUND((B52/B51-1)*100,2)</f>
        <v>10.9</v>
      </c>
      <c r="C54" s="2">
        <f t="shared" si="23"/>
        <v>5.34</v>
      </c>
      <c r="D54" s="2">
        <f t="shared" si="23"/>
        <v>-5.05</v>
      </c>
      <c r="E54" s="2">
        <f t="shared" si="23"/>
        <v>0.85</v>
      </c>
      <c r="F54" s="1" t="s">
        <v>15</v>
      </c>
      <c r="G54" s="1" t="s">
        <v>115</v>
      </c>
    </row>
    <row r="55">
      <c r="A55" s="1" t="s">
        <v>116</v>
      </c>
      <c r="B55" s="2">
        <f t="shared" ref="B55:E55" si="24">ROUND(B45-B54,1)</f>
        <v>-25.7</v>
      </c>
      <c r="C55" s="2">
        <f t="shared" si="24"/>
        <v>-39.2</v>
      </c>
      <c r="D55" s="2">
        <f t="shared" si="24"/>
        <v>-19.7</v>
      </c>
      <c r="E55" s="2">
        <f t="shared" si="24"/>
        <v>34.9</v>
      </c>
      <c r="F55" s="1" t="s">
        <v>15</v>
      </c>
      <c r="G55" s="1" t="s">
        <v>117</v>
      </c>
    </row>
    <row r="56">
      <c r="A56" s="1" t="s">
        <v>118</v>
      </c>
    </row>
    <row r="57">
      <c r="A57" s="1" t="s">
        <v>119</v>
      </c>
      <c r="B57" s="1">
        <v>715.85</v>
      </c>
      <c r="F57" s="1" t="s">
        <v>120</v>
      </c>
      <c r="G57" s="1" t="s">
        <v>121</v>
      </c>
    </row>
    <row r="58">
      <c r="A58" s="1" t="s">
        <v>122</v>
      </c>
      <c r="B58" s="2">
        <f>ROUND(B57*D28,0)</f>
        <v>29064</v>
      </c>
      <c r="F58" s="1" t="s">
        <v>15</v>
      </c>
      <c r="G58" s="1" t="s">
        <v>86</v>
      </c>
    </row>
    <row r="59">
      <c r="A59" s="1" t="s">
        <v>123</v>
      </c>
      <c r="B59" s="1">
        <v>557.04</v>
      </c>
      <c r="F59" s="1" t="s">
        <v>120</v>
      </c>
      <c r="G59" s="1" t="s">
        <v>124</v>
      </c>
    </row>
    <row r="60">
      <c r="A60" s="1" t="s">
        <v>125</v>
      </c>
      <c r="B60" s="2">
        <f>ROUND(B58/B59,1)</f>
        <v>52.2</v>
      </c>
      <c r="F60" s="1" t="s">
        <v>15</v>
      </c>
      <c r="G60" s="1" t="s">
        <v>126</v>
      </c>
    </row>
    <row r="61">
      <c r="A61" s="1" t="s">
        <v>127</v>
      </c>
      <c r="B61" s="2">
        <f>ROUND(B57/E29,1)</f>
        <v>39.2</v>
      </c>
      <c r="F61" s="1" t="s">
        <v>15</v>
      </c>
      <c r="G61" s="1" t="s">
        <v>128</v>
      </c>
    </row>
    <row r="62">
      <c r="A62" s="1" t="s">
        <v>129</v>
      </c>
      <c r="B62" s="2">
        <f>ROUND(B57/D33,2)</f>
        <v>7.41</v>
      </c>
      <c r="F62" s="1" t="s">
        <v>15</v>
      </c>
      <c r="G62" s="1" t="s">
        <v>130</v>
      </c>
    </row>
    <row r="63">
      <c r="A63" s="1" t="s">
        <v>131</v>
      </c>
      <c r="B63" s="2">
        <f>ROUND(D30/B57*100,2)</f>
        <v>1.63</v>
      </c>
      <c r="F63" s="1" t="s">
        <v>15</v>
      </c>
      <c r="G63" s="1" t="s">
        <v>132</v>
      </c>
    </row>
    <row r="64">
      <c r="A64" s="1" t="s">
        <v>133</v>
      </c>
      <c r="B64" s="1">
        <v>891.0</v>
      </c>
      <c r="F64" s="1" t="s">
        <v>120</v>
      </c>
      <c r="G64" s="1" t="s">
        <v>134</v>
      </c>
    </row>
    <row r="65">
      <c r="A65" s="1" t="s">
        <v>135</v>
      </c>
      <c r="B65" s="1">
        <v>507.4</v>
      </c>
      <c r="F65" s="1" t="s">
        <v>120</v>
      </c>
      <c r="G65" s="1" t="s">
        <v>136</v>
      </c>
    </row>
    <row r="66">
      <c r="A66" s="1" t="s">
        <v>137</v>
      </c>
      <c r="B66" s="1">
        <v>776.26</v>
      </c>
      <c r="F66" s="1" t="s">
        <v>120</v>
      </c>
      <c r="G66" s="1" t="s">
        <v>138</v>
      </c>
    </row>
    <row r="67">
      <c r="A67" s="1" t="s">
        <v>139</v>
      </c>
      <c r="B67" s="1">
        <v>677.88</v>
      </c>
      <c r="F67" s="1" t="s">
        <v>120</v>
      </c>
      <c r="G67" s="1" t="s">
        <v>140</v>
      </c>
    </row>
    <row r="68">
      <c r="A68" s="1" t="s">
        <v>141</v>
      </c>
      <c r="B68" s="1">
        <v>34.51</v>
      </c>
      <c r="F68" s="1" t="s">
        <v>120</v>
      </c>
      <c r="G68" s="1" t="s">
        <v>142</v>
      </c>
    </row>
    <row r="69">
      <c r="A69" s="1" t="s">
        <v>143</v>
      </c>
      <c r="B69" s="2">
        <f>ROUND((B57/B67-1)*100,1)</f>
        <v>5.6</v>
      </c>
      <c r="F69" s="1" t="s">
        <v>15</v>
      </c>
      <c r="G69" s="1" t="s">
        <v>144</v>
      </c>
    </row>
    <row r="70">
      <c r="A70" s="1" t="s">
        <v>145</v>
      </c>
      <c r="B70" s="2">
        <f>ROUND((E39/B57-1)*100,1)</f>
        <v>-3.5</v>
      </c>
      <c r="F70" s="1" t="s">
        <v>15</v>
      </c>
      <c r="G70" s="1" t="s">
        <v>146</v>
      </c>
    </row>
    <row r="71">
      <c r="A71" s="1" t="s">
        <v>147</v>
      </c>
    </row>
    <row r="72">
      <c r="A72" s="1" t="s">
        <v>148</v>
      </c>
      <c r="E72" s="1">
        <v>0.0</v>
      </c>
      <c r="F72" s="1" t="s">
        <v>47</v>
      </c>
      <c r="G72" s="1" t="s">
        <v>149</v>
      </c>
    </row>
    <row r="73">
      <c r="A73" s="1" t="s">
        <v>150</v>
      </c>
      <c r="B73" s="1">
        <v>6.5</v>
      </c>
      <c r="C73" s="1">
        <v>6.25</v>
      </c>
      <c r="D73" s="1">
        <v>5.25</v>
      </c>
      <c r="E73" s="1">
        <v>5.5</v>
      </c>
      <c r="F73" s="1" t="s">
        <v>10</v>
      </c>
      <c r="G73" s="1" t="s">
        <v>151</v>
      </c>
    </row>
    <row r="74">
      <c r="A74" s="1" t="s">
        <v>152</v>
      </c>
      <c r="B74" s="1">
        <v>0.0</v>
      </c>
      <c r="C74" s="2">
        <f t="shared" ref="C74:E74" si="25">C73-B73</f>
        <v>-0.25</v>
      </c>
      <c r="D74" s="2">
        <f t="shared" si="25"/>
        <v>-1</v>
      </c>
      <c r="E74" s="2">
        <f t="shared" si="25"/>
        <v>0.25</v>
      </c>
      <c r="F74" s="1" t="s">
        <v>15</v>
      </c>
      <c r="G74" s="1" t="s">
        <v>153</v>
      </c>
    </row>
    <row r="75">
      <c r="A75" s="1" t="s">
        <v>154</v>
      </c>
      <c r="E75" s="1">
        <v>5.2</v>
      </c>
      <c r="F75" s="1" t="s">
        <v>120</v>
      </c>
      <c r="G75" s="1" t="s">
        <v>155</v>
      </c>
    </row>
    <row r="76">
      <c r="A76" s="1" t="s">
        <v>156</v>
      </c>
      <c r="E76" s="1">
        <v>7.1</v>
      </c>
      <c r="F76" s="1" t="s">
        <v>120</v>
      </c>
      <c r="G76" s="1" t="s">
        <v>157</v>
      </c>
    </row>
    <row r="77">
      <c r="A77" s="1" t="s">
        <v>158</v>
      </c>
      <c r="D77" s="1">
        <v>106.67</v>
      </c>
      <c r="E77" s="1">
        <v>104.43</v>
      </c>
      <c r="F77" s="1" t="s">
        <v>120</v>
      </c>
      <c r="G77" s="1" t="s">
        <v>159</v>
      </c>
    </row>
    <row r="78">
      <c r="A78" s="1" t="s">
        <v>160</v>
      </c>
      <c r="D78" s="1">
        <v>95.2</v>
      </c>
      <c r="E78" s="1">
        <v>96.74</v>
      </c>
      <c r="F78" s="1" t="s">
        <v>120</v>
      </c>
      <c r="G78" s="1" t="s">
        <v>161</v>
      </c>
    </row>
    <row r="79">
      <c r="A79" s="1" t="s">
        <v>162</v>
      </c>
      <c r="D79" s="1">
        <v>27.89</v>
      </c>
      <c r="E79" s="1">
        <v>14.36</v>
      </c>
      <c r="F79" s="1" t="s">
        <v>120</v>
      </c>
      <c r="G79" s="1" t="s">
        <v>163</v>
      </c>
    </row>
    <row r="80">
      <c r="A80" s="1" t="s">
        <v>164</v>
      </c>
      <c r="E80" s="1">
        <v>0.0</v>
      </c>
      <c r="F80" s="1" t="s">
        <v>47</v>
      </c>
      <c r="G80" s="1" t="s">
        <v>165</v>
      </c>
    </row>
    <row r="81">
      <c r="A81" s="1" t="s">
        <v>166</v>
      </c>
      <c r="B81" s="1">
        <v>2.61</v>
      </c>
      <c r="C81" s="1">
        <v>5.58</v>
      </c>
      <c r="D81" s="1">
        <v>9.21</v>
      </c>
      <c r="E81" s="1">
        <v>10.78</v>
      </c>
      <c r="F81" s="1" t="s">
        <v>10</v>
      </c>
      <c r="G81" s="1" t="s">
        <v>167</v>
      </c>
    </row>
    <row r="82">
      <c r="A82" s="1" t="s">
        <v>168</v>
      </c>
      <c r="C82" s="2">
        <f t="shared" ref="C82:E82" si="26">ROUND(C81-B81,2)</f>
        <v>2.97</v>
      </c>
      <c r="D82" s="2">
        <f t="shared" si="26"/>
        <v>3.63</v>
      </c>
      <c r="E82" s="2">
        <f t="shared" si="26"/>
        <v>1.57</v>
      </c>
      <c r="F82" s="1" t="s">
        <v>15</v>
      </c>
      <c r="G82" s="1" t="s">
        <v>169</v>
      </c>
    </row>
    <row r="83">
      <c r="A83" s="1" t="s">
        <v>170</v>
      </c>
      <c r="E83" s="1">
        <v>1.0</v>
      </c>
      <c r="F83" s="1" t="s">
        <v>47</v>
      </c>
      <c r="G83" s="1" t="s">
        <v>171</v>
      </c>
    </row>
    <row r="84">
      <c r="A84" s="1" t="s">
        <v>172</v>
      </c>
      <c r="E84" s="1">
        <v>45.0</v>
      </c>
      <c r="F84" s="1" t="s">
        <v>47</v>
      </c>
      <c r="G84" s="1" t="s">
        <v>173</v>
      </c>
    </row>
    <row r="85">
      <c r="A85" s="1" t="s">
        <v>174</v>
      </c>
      <c r="E85" s="1">
        <v>0.0</v>
      </c>
      <c r="F85" s="1" t="s">
        <v>47</v>
      </c>
      <c r="G85" s="1" t="s">
        <v>175</v>
      </c>
    </row>
    <row r="86">
      <c r="A86" s="1" t="s">
        <v>176</v>
      </c>
      <c r="E86" s="1">
        <v>0.0</v>
      </c>
      <c r="F86" s="1" t="s">
        <v>47</v>
      </c>
      <c r="G86" s="1" t="s">
        <v>177</v>
      </c>
    </row>
    <row r="87">
      <c r="A87" s="1" t="s">
        <v>178</v>
      </c>
      <c r="E87" s="1">
        <v>0.0</v>
      </c>
      <c r="F87" s="1" t="s">
        <v>47</v>
      </c>
      <c r="G87" s="1" t="s">
        <v>179</v>
      </c>
    </row>
    <row r="88">
      <c r="A88" s="1" t="s">
        <v>180</v>
      </c>
      <c r="E88" s="1">
        <v>28.5</v>
      </c>
      <c r="F88" s="1" t="s">
        <v>120</v>
      </c>
      <c r="G88" s="1" t="s">
        <v>181</v>
      </c>
    </row>
    <row r="89">
      <c r="A89" s="1" t="s">
        <v>182</v>
      </c>
    </row>
    <row r="90">
      <c r="A90" s="1" t="s">
        <v>183</v>
      </c>
      <c r="E90" s="1">
        <v>0.0</v>
      </c>
      <c r="F90" s="1" t="s">
        <v>47</v>
      </c>
      <c r="G90" s="1" t="s">
        <v>184</v>
      </c>
    </row>
    <row r="91">
      <c r="A91" s="1" t="s">
        <v>185</v>
      </c>
      <c r="E91" s="1">
        <v>0.0</v>
      </c>
      <c r="F91" s="1" t="s">
        <v>47</v>
      </c>
      <c r="G91" s="1" t="s">
        <v>186</v>
      </c>
    </row>
    <row r="92">
      <c r="A92" s="1" t="s">
        <v>187</v>
      </c>
      <c r="E92" s="1">
        <v>0.0</v>
      </c>
      <c r="F92" s="1" t="s">
        <v>47</v>
      </c>
      <c r="G92" s="1" t="s">
        <v>188</v>
      </c>
    </row>
    <row r="93">
      <c r="A93" s="1" t="s">
        <v>189</v>
      </c>
      <c r="E93" s="1">
        <v>0.0</v>
      </c>
      <c r="F93" s="1" t="s">
        <v>47</v>
      </c>
      <c r="G93" s="1" t="s">
        <v>190</v>
      </c>
    </row>
    <row r="94">
      <c r="A94" s="1" t="s">
        <v>191</v>
      </c>
      <c r="E94" s="1">
        <v>0.0</v>
      </c>
      <c r="F94" s="1" t="s">
        <v>47</v>
      </c>
      <c r="G94" s="1" t="s">
        <v>192</v>
      </c>
    </row>
    <row r="95">
      <c r="A95" s="1" t="s">
        <v>193</v>
      </c>
      <c r="E95" s="1">
        <v>0.0</v>
      </c>
      <c r="F95" s="1" t="s">
        <v>47</v>
      </c>
      <c r="G95" s="1" t="s">
        <v>194</v>
      </c>
    </row>
    <row r="96">
      <c r="A96" s="1" t="s">
        <v>195</v>
      </c>
      <c r="E96" s="1">
        <v>0.0</v>
      </c>
      <c r="F96" s="1" t="s">
        <v>47</v>
      </c>
      <c r="G96" s="1" t="s">
        <v>196</v>
      </c>
    </row>
    <row r="97">
      <c r="A97" s="1" t="s">
        <v>197</v>
      </c>
      <c r="E97" s="1">
        <v>-0.2</v>
      </c>
      <c r="F97" s="1" t="s">
        <v>120</v>
      </c>
      <c r="G97" s="1" t="s">
        <v>198</v>
      </c>
    </row>
    <row r="98">
      <c r="A98" s="1" t="s">
        <v>199</v>
      </c>
      <c r="E98" s="1">
        <v>0.0</v>
      </c>
      <c r="F98" s="1" t="s">
        <v>47</v>
      </c>
      <c r="G98" s="1" t="s">
        <v>200</v>
      </c>
    </row>
    <row r="99">
      <c r="A99" s="1" t="s">
        <v>201</v>
      </c>
      <c r="E99" s="1">
        <v>0.0</v>
      </c>
      <c r="F99" s="1" t="s">
        <v>47</v>
      </c>
      <c r="G99" s="1" t="s">
        <v>202</v>
      </c>
    </row>
    <row r="100">
      <c r="A100" s="1" t="s">
        <v>203</v>
      </c>
      <c r="E100" s="1">
        <v>0.0</v>
      </c>
      <c r="F100" s="1" t="s">
        <v>47</v>
      </c>
      <c r="G100" s="1" t="s">
        <v>204</v>
      </c>
    </row>
    <row r="101">
      <c r="A101" s="1" t="s">
        <v>205</v>
      </c>
      <c r="E101" s="2">
        <f>ROUND((E78/94.9-1)*100,2)</f>
        <v>1.94</v>
      </c>
      <c r="F101" s="1" t="s">
        <v>15</v>
      </c>
      <c r="G101" s="1" t="s">
        <v>206</v>
      </c>
    </row>
    <row r="102">
      <c r="A102" s="1" t="s">
        <v>207</v>
      </c>
      <c r="E102" s="1">
        <v>0.0</v>
      </c>
      <c r="F102" s="1" t="s">
        <v>47</v>
      </c>
      <c r="G102" s="1" t="s">
        <v>208</v>
      </c>
    </row>
    <row r="103">
      <c r="A103" s="1" t="s">
        <v>209</v>
      </c>
      <c r="E103" s="1">
        <v>0.0</v>
      </c>
      <c r="F103" s="1" t="s">
        <v>47</v>
      </c>
      <c r="G103" s="1" t="s">
        <v>210</v>
      </c>
    </row>
    <row r="104">
      <c r="A104" s="1" t="s">
        <v>211</v>
      </c>
    </row>
    <row r="105">
      <c r="A105" s="1" t="s">
        <v>212</v>
      </c>
      <c r="E105" s="2">
        <f>ROUND(E17*(1-E21/100),2)</f>
        <v>5543</v>
      </c>
      <c r="F105" s="1" t="s">
        <v>15</v>
      </c>
      <c r="G105" s="1" t="s">
        <v>213</v>
      </c>
    </row>
    <row r="106">
      <c r="A106" s="1" t="s">
        <v>214</v>
      </c>
      <c r="E106" s="2">
        <f>ROUND(E17*D27/100*(E96+E97*$B$147)/100,2)</f>
        <v>-1.97</v>
      </c>
      <c r="F106" s="1" t="s">
        <v>15</v>
      </c>
      <c r="G106" s="1" t="s">
        <v>215</v>
      </c>
    </row>
    <row r="107">
      <c r="A107" s="1" t="s">
        <v>216</v>
      </c>
      <c r="E107" s="2">
        <f>ROUND(E105*$B$140/100*E90/10*$B$143/100,2)</f>
        <v>0</v>
      </c>
      <c r="F107" s="1" t="s">
        <v>15</v>
      </c>
      <c r="G107" s="1" t="s">
        <v>217</v>
      </c>
    </row>
    <row r="108">
      <c r="A108" s="1" t="s">
        <v>218</v>
      </c>
      <c r="E108" s="2">
        <f>ROUND(E105*$B$141/100*(E92+E90/10*$B$144)/100,2)</f>
        <v>0</v>
      </c>
      <c r="F108" s="1" t="s">
        <v>15</v>
      </c>
      <c r="G108" s="1" t="s">
        <v>219</v>
      </c>
    </row>
    <row r="109">
      <c r="A109" s="1" t="s">
        <v>220</v>
      </c>
      <c r="E109" s="2">
        <f>ROUND(E105*$B$142/100*(E95+E90/10*$B$145)/100,2)</f>
        <v>0</v>
      </c>
      <c r="F109" s="1" t="s">
        <v>15</v>
      </c>
      <c r="G109" s="1" t="s">
        <v>221</v>
      </c>
    </row>
    <row r="110">
      <c r="A110" s="1" t="s">
        <v>222</v>
      </c>
      <c r="E110" s="2">
        <f>ROUND(E105*$B$148/100*E94/100,2)</f>
        <v>0</v>
      </c>
      <c r="F110" s="1" t="s">
        <v>15</v>
      </c>
      <c r="G110" s="1" t="s">
        <v>223</v>
      </c>
    </row>
    <row r="111">
      <c r="A111" s="1" t="s">
        <v>224</v>
      </c>
      <c r="E111" s="2">
        <f>ROUND(E105*$B$149/100*E93/100*$B$150/100,2)</f>
        <v>0</v>
      </c>
      <c r="F111" s="1" t="s">
        <v>15</v>
      </c>
      <c r="G111" s="1" t="s">
        <v>225</v>
      </c>
    </row>
    <row r="112">
      <c r="A112" s="1" t="s">
        <v>226</v>
      </c>
      <c r="E112" s="2">
        <f>ROUND(E105*$B$151/100*E98/100,2)</f>
        <v>0</v>
      </c>
      <c r="F112" s="1" t="s">
        <v>15</v>
      </c>
      <c r="G112" s="1" t="s">
        <v>227</v>
      </c>
    </row>
    <row r="113">
      <c r="A113" s="1" t="s">
        <v>228</v>
      </c>
      <c r="E113" s="2">
        <f>ROUND(E17/(1-E100/100)*E100/100*(1-E21/100),2)</f>
        <v>0</v>
      </c>
      <c r="F113" s="1" t="s">
        <v>15</v>
      </c>
      <c r="G113" s="1" t="s">
        <v>229</v>
      </c>
    </row>
    <row r="114">
      <c r="A114" s="1" t="s">
        <v>230</v>
      </c>
      <c r="E114" s="2">
        <f>ROUND(-E17*E101*$B$152/100,2)</f>
        <v>-32.04</v>
      </c>
      <c r="F114" s="1" t="s">
        <v>15</v>
      </c>
      <c r="G114" s="1" t="s">
        <v>231</v>
      </c>
    </row>
    <row r="115">
      <c r="A115" s="1" t="s">
        <v>232</v>
      </c>
      <c r="E115" s="2">
        <f>E103</f>
        <v>0</v>
      </c>
      <c r="F115" s="1" t="s">
        <v>15</v>
      </c>
      <c r="G115" s="1" t="s">
        <v>233</v>
      </c>
    </row>
    <row r="116">
      <c r="A116" s="1" t="s">
        <v>234</v>
      </c>
      <c r="E116" s="2">
        <f>ROUND(SUM(E106:E115),2)</f>
        <v>-34.01</v>
      </c>
      <c r="F116" s="1" t="s">
        <v>15</v>
      </c>
      <c r="G116" s="1" t="s">
        <v>235</v>
      </c>
    </row>
    <row r="117">
      <c r="A117" s="1" t="s">
        <v>236</v>
      </c>
      <c r="E117" s="2">
        <f>ROUND(E91+E90/10*$B$146,2)</f>
        <v>0</v>
      </c>
      <c r="F117" s="1" t="s">
        <v>15</v>
      </c>
      <c r="G117" s="1" t="s">
        <v>237</v>
      </c>
    </row>
    <row r="118">
      <c r="A118" s="1" t="s">
        <v>238</v>
      </c>
      <c r="E118" s="2">
        <f>ROUND(E117/$B$153+E117*$B$154/100*$B$155/100,2)</f>
        <v>0</v>
      </c>
      <c r="F118" s="1" t="s">
        <v>15</v>
      </c>
      <c r="G118" s="1" t="s">
        <v>239</v>
      </c>
    </row>
    <row r="119">
      <c r="A119" s="1" t="s">
        <v>240</v>
      </c>
    </row>
    <row r="120">
      <c r="A120" s="1" t="s">
        <v>241</v>
      </c>
      <c r="E120" s="2">
        <f>ROUND(((E50/E49-1)*$B$157/100+(E52/E51-1)*(1-$B$157/100))*$B$156*100,2)</f>
        <v>0.79</v>
      </c>
      <c r="F120" s="1" t="s">
        <v>15</v>
      </c>
      <c r="G120" s="1" t="s">
        <v>242</v>
      </c>
    </row>
    <row r="121">
      <c r="A121" s="1" t="s">
        <v>243</v>
      </c>
      <c r="E121" s="2">
        <f>E72</f>
        <v>0</v>
      </c>
      <c r="F121" s="1" t="s">
        <v>15</v>
      </c>
      <c r="G121" s="1" t="s">
        <v>244</v>
      </c>
    </row>
    <row r="122">
      <c r="A122" s="1" t="s">
        <v>245</v>
      </c>
      <c r="E122" s="2">
        <f>ROUND(E74*$B$158,2)</f>
        <v>-1.25</v>
      </c>
      <c r="F122" s="1" t="s">
        <v>15</v>
      </c>
      <c r="G122" s="1" t="s">
        <v>246</v>
      </c>
    </row>
    <row r="123">
      <c r="A123" s="1" t="s">
        <v>247</v>
      </c>
      <c r="E123" s="2">
        <f>ROUND((E75-$B$159)*$B$160,2)</f>
        <v>-2.4</v>
      </c>
      <c r="F123" s="1" t="s">
        <v>15</v>
      </c>
      <c r="G123" s="1" t="s">
        <v>248</v>
      </c>
    </row>
    <row r="124">
      <c r="A124" s="1" t="s">
        <v>249</v>
      </c>
      <c r="E124" s="2">
        <f>ROUND((E76-$B$161)*$B$162,2)</f>
        <v>1.8</v>
      </c>
      <c r="F124" s="1" t="s">
        <v>15</v>
      </c>
      <c r="G124" s="1" t="s">
        <v>250</v>
      </c>
    </row>
    <row r="125">
      <c r="A125" s="1" t="s">
        <v>251</v>
      </c>
      <c r="E125" s="2">
        <f>ROUND((E77/D77-1)*$B$163,2)</f>
        <v>0.21</v>
      </c>
      <c r="F125" s="1" t="s">
        <v>15</v>
      </c>
      <c r="G125" s="1" t="s">
        <v>252</v>
      </c>
    </row>
    <row r="126">
      <c r="A126" s="1" t="s">
        <v>253</v>
      </c>
      <c r="E126" s="2">
        <f>ROUND(E80*$B$164,2)</f>
        <v>0</v>
      </c>
      <c r="F126" s="1" t="s">
        <v>15</v>
      </c>
      <c r="G126" s="1" t="s">
        <v>254</v>
      </c>
    </row>
    <row r="127">
      <c r="A127" s="1" t="s">
        <v>255</v>
      </c>
      <c r="E127" s="2">
        <f>ROUND(E82*$B$165,2)</f>
        <v>0.79</v>
      </c>
      <c r="F127" s="1" t="s">
        <v>15</v>
      </c>
      <c r="G127" s="1" t="s">
        <v>256</v>
      </c>
    </row>
    <row r="128">
      <c r="A128" s="1" t="s">
        <v>257</v>
      </c>
      <c r="E128" s="2">
        <f>ROUND((E84-$B$166)*$B$167,2)</f>
        <v>0</v>
      </c>
      <c r="F128" s="1" t="s">
        <v>15</v>
      </c>
      <c r="G128" s="1" t="s">
        <v>258</v>
      </c>
    </row>
    <row r="129">
      <c r="A129" s="1" t="s">
        <v>259</v>
      </c>
      <c r="E129" s="2">
        <f>ROUND(E85*$B$168*MIN(E83,2),2)</f>
        <v>0</v>
      </c>
      <c r="F129" s="1" t="s">
        <v>15</v>
      </c>
      <c r="G129" s="1" t="s">
        <v>260</v>
      </c>
    </row>
    <row r="130">
      <c r="A130" s="1" t="s">
        <v>261</v>
      </c>
      <c r="E130" s="2">
        <f>E86</f>
        <v>0</v>
      </c>
      <c r="F130" s="1" t="s">
        <v>15</v>
      </c>
      <c r="G130" s="1" t="s">
        <v>262</v>
      </c>
    </row>
    <row r="131">
      <c r="A131" s="1" t="s">
        <v>263</v>
      </c>
      <c r="E131" s="2">
        <f>ROUND(E87/100*(E88/D41-1)*100,2)</f>
        <v>0</v>
      </c>
      <c r="F131" s="1" t="s">
        <v>15</v>
      </c>
      <c r="G131" s="1" t="s">
        <v>264</v>
      </c>
    </row>
    <row r="132">
      <c r="A132" s="1" t="s">
        <v>265</v>
      </c>
      <c r="E132" s="2">
        <f>ROUND(SUM(E120:E131),2)</f>
        <v>-0.06</v>
      </c>
      <c r="F132" s="1" t="s">
        <v>15</v>
      </c>
      <c r="G132" s="1" t="s">
        <v>266</v>
      </c>
    </row>
    <row r="133">
      <c r="A133" s="1" t="s">
        <v>267</v>
      </c>
      <c r="E133" s="2">
        <f>D41</f>
        <v>37.8</v>
      </c>
      <c r="F133" s="1" t="s">
        <v>15</v>
      </c>
      <c r="G133" s="1" t="s">
        <v>268</v>
      </c>
    </row>
    <row r="134">
      <c r="A134" s="1" t="s">
        <v>269</v>
      </c>
      <c r="E134" s="2">
        <f>ROUND(E133*(1+E132/100),2)</f>
        <v>37.78</v>
      </c>
      <c r="F134" s="1" t="s">
        <v>15</v>
      </c>
      <c r="G134" s="1" t="s">
        <v>270</v>
      </c>
    </row>
    <row r="135">
      <c r="A135" s="1" t="s">
        <v>271</v>
      </c>
      <c r="E135" s="2">
        <f>ROUND(E29*E134,2)</f>
        <v>690.62</v>
      </c>
      <c r="F135" s="1" t="s">
        <v>15</v>
      </c>
      <c r="G135" s="1" t="s">
        <v>272</v>
      </c>
    </row>
    <row r="136">
      <c r="A136" s="1" t="s">
        <v>273</v>
      </c>
      <c r="E136" s="2">
        <f>ROUND(E135*E28,0)</f>
        <v>28039</v>
      </c>
      <c r="F136" s="1" t="s">
        <v>15</v>
      </c>
      <c r="G136" s="1" t="s">
        <v>274</v>
      </c>
    </row>
    <row r="137">
      <c r="A137" s="1" t="s">
        <v>275</v>
      </c>
      <c r="E137" s="2">
        <f>IF(E47&gt;0,ROUND(E134/E47,2),"n/a")</f>
        <v>1.06</v>
      </c>
      <c r="F137" s="1" t="s">
        <v>15</v>
      </c>
      <c r="G137" s="1" t="s">
        <v>276</v>
      </c>
    </row>
    <row r="138">
      <c r="A138" s="1" t="s">
        <v>277</v>
      </c>
      <c r="E138" s="2">
        <f>ROUND((E134/E88-1)*100,1)</f>
        <v>32.6</v>
      </c>
      <c r="F138" s="1" t="s">
        <v>15</v>
      </c>
      <c r="G138" s="1" t="s">
        <v>278</v>
      </c>
    </row>
    <row r="139">
      <c r="A139" s="1" t="s">
        <v>279</v>
      </c>
    </row>
    <row r="140">
      <c r="A140" s="1" t="s">
        <v>280</v>
      </c>
      <c r="B140" s="1">
        <v>6.0</v>
      </c>
      <c r="F140" s="1" t="s">
        <v>281</v>
      </c>
      <c r="G140" s="1" t="s">
        <v>282</v>
      </c>
    </row>
    <row r="141">
      <c r="A141" s="1" t="s">
        <v>283</v>
      </c>
      <c r="B141" s="1">
        <v>1.5</v>
      </c>
      <c r="F141" s="1" t="s">
        <v>281</v>
      </c>
      <c r="G141" s="1" t="s">
        <v>284</v>
      </c>
    </row>
    <row r="142">
      <c r="A142" s="1" t="s">
        <v>285</v>
      </c>
      <c r="B142" s="1">
        <v>4.0</v>
      </c>
      <c r="F142" s="1" t="s">
        <v>281</v>
      </c>
      <c r="G142" s="1" t="s">
        <v>284</v>
      </c>
    </row>
    <row r="143">
      <c r="A143" s="1" t="s">
        <v>286</v>
      </c>
      <c r="B143" s="1">
        <v>5.0</v>
      </c>
      <c r="F143" s="1" t="s">
        <v>281</v>
      </c>
      <c r="G143" s="1" t="s">
        <v>284</v>
      </c>
    </row>
    <row r="144">
      <c r="A144" s="1" t="s">
        <v>287</v>
      </c>
      <c r="B144" s="1">
        <v>3.0</v>
      </c>
      <c r="F144" s="1" t="s">
        <v>281</v>
      </c>
      <c r="G144" s="1" t="s">
        <v>284</v>
      </c>
    </row>
    <row r="145">
      <c r="A145" s="1" t="s">
        <v>288</v>
      </c>
      <c r="B145" s="1">
        <v>-6.0</v>
      </c>
      <c r="F145" s="1" t="s">
        <v>281</v>
      </c>
      <c r="G145" s="1" t="s">
        <v>284</v>
      </c>
    </row>
    <row r="146">
      <c r="A146" s="1" t="s">
        <v>289</v>
      </c>
      <c r="B146" s="1">
        <v>15.0</v>
      </c>
      <c r="F146" s="1" t="s">
        <v>281</v>
      </c>
      <c r="G146" s="1" t="s">
        <v>290</v>
      </c>
    </row>
    <row r="147">
      <c r="A147" s="1" t="s">
        <v>291</v>
      </c>
      <c r="B147" s="1">
        <v>0.3</v>
      </c>
      <c r="F147" s="1" t="s">
        <v>281</v>
      </c>
      <c r="G147" s="1" t="s">
        <v>292</v>
      </c>
    </row>
    <row r="148">
      <c r="A148" s="1" t="s">
        <v>293</v>
      </c>
      <c r="B148" s="1">
        <v>18.0</v>
      </c>
      <c r="F148" s="1" t="s">
        <v>281</v>
      </c>
      <c r="G148" s="1" t="s">
        <v>294</v>
      </c>
    </row>
    <row r="149">
      <c r="A149" s="1" t="s">
        <v>295</v>
      </c>
      <c r="B149" s="1">
        <v>3.0</v>
      </c>
      <c r="F149" s="1" t="s">
        <v>281</v>
      </c>
      <c r="G149" s="1" t="s">
        <v>284</v>
      </c>
    </row>
    <row r="150">
      <c r="A150" s="1" t="s">
        <v>296</v>
      </c>
      <c r="B150" s="1">
        <v>50.0</v>
      </c>
      <c r="F150" s="1" t="s">
        <v>281</v>
      </c>
      <c r="G150" s="1" t="s">
        <v>284</v>
      </c>
    </row>
    <row r="151">
      <c r="A151" s="1" t="s">
        <v>297</v>
      </c>
      <c r="B151" s="1">
        <v>8.0</v>
      </c>
      <c r="F151" s="1" t="s">
        <v>281</v>
      </c>
      <c r="G151" s="1" t="s">
        <v>284</v>
      </c>
    </row>
    <row r="152">
      <c r="A152" s="1" t="s">
        <v>298</v>
      </c>
      <c r="B152" s="1">
        <v>0.25</v>
      </c>
      <c r="F152" s="1" t="s">
        <v>281</v>
      </c>
      <c r="G152" s="1" t="s">
        <v>299</v>
      </c>
    </row>
    <row r="153">
      <c r="A153" s="1" t="s">
        <v>300</v>
      </c>
      <c r="B153" s="1">
        <v>5.0</v>
      </c>
      <c r="F153" s="1" t="s">
        <v>281</v>
      </c>
      <c r="G153" s="1" t="s">
        <v>284</v>
      </c>
    </row>
    <row r="154">
      <c r="A154" s="1" t="s">
        <v>301</v>
      </c>
      <c r="B154" s="1">
        <v>50.0</v>
      </c>
      <c r="F154" s="1" t="s">
        <v>281</v>
      </c>
      <c r="G154" s="1" t="s">
        <v>284</v>
      </c>
    </row>
    <row r="155">
      <c r="A155" s="1" t="s">
        <v>302</v>
      </c>
      <c r="B155" s="1">
        <v>9.0</v>
      </c>
      <c r="F155" s="1" t="s">
        <v>281</v>
      </c>
      <c r="G155" s="1" t="s">
        <v>284</v>
      </c>
    </row>
    <row r="156">
      <c r="A156" s="1" t="s">
        <v>303</v>
      </c>
      <c r="B156" s="1">
        <v>1.0</v>
      </c>
      <c r="F156" s="1" t="s">
        <v>281</v>
      </c>
      <c r="G156" s="1" t="s">
        <v>304</v>
      </c>
    </row>
    <row r="157">
      <c r="A157" s="1" t="s">
        <v>305</v>
      </c>
      <c r="B157" s="1">
        <v>50.0</v>
      </c>
      <c r="F157" s="1" t="s">
        <v>281</v>
      </c>
      <c r="G157" s="1" t="s">
        <v>306</v>
      </c>
    </row>
    <row r="158">
      <c r="A158" s="1" t="s">
        <v>307</v>
      </c>
      <c r="B158" s="1">
        <v>-5.0</v>
      </c>
      <c r="F158" s="1" t="s">
        <v>281</v>
      </c>
      <c r="G158" s="1" t="s">
        <v>284</v>
      </c>
    </row>
    <row r="159">
      <c r="A159" s="1" t="s">
        <v>308</v>
      </c>
      <c r="B159" s="1">
        <v>4.0</v>
      </c>
      <c r="F159" s="1" t="s">
        <v>281</v>
      </c>
      <c r="G159" s="1" t="s">
        <v>309</v>
      </c>
    </row>
    <row r="160">
      <c r="A160" s="1" t="s">
        <v>310</v>
      </c>
      <c r="B160" s="1">
        <v>-2.0</v>
      </c>
      <c r="F160" s="1" t="s">
        <v>281</v>
      </c>
      <c r="G160" s="1" t="s">
        <v>284</v>
      </c>
    </row>
    <row r="161">
      <c r="A161" s="1" t="s">
        <v>311</v>
      </c>
      <c r="B161" s="1">
        <v>6.5</v>
      </c>
      <c r="F161" s="1" t="s">
        <v>281</v>
      </c>
      <c r="G161" s="1" t="s">
        <v>284</v>
      </c>
    </row>
    <row r="162">
      <c r="A162" s="1" t="s">
        <v>312</v>
      </c>
      <c r="B162" s="1">
        <v>3.0</v>
      </c>
      <c r="F162" s="1" t="s">
        <v>281</v>
      </c>
      <c r="G162" s="1" t="s">
        <v>284</v>
      </c>
    </row>
    <row r="163">
      <c r="A163" s="1" t="s">
        <v>313</v>
      </c>
      <c r="B163" s="1">
        <v>-10.0</v>
      </c>
      <c r="F163" s="1" t="s">
        <v>281</v>
      </c>
      <c r="G163" s="1" t="s">
        <v>284</v>
      </c>
    </row>
    <row r="164">
      <c r="A164" s="1" t="s">
        <v>314</v>
      </c>
      <c r="B164" s="1">
        <v>1.0</v>
      </c>
      <c r="F164" s="1" t="s">
        <v>281</v>
      </c>
      <c r="G164" s="1" t="s">
        <v>284</v>
      </c>
    </row>
    <row r="165">
      <c r="A165" s="1" t="s">
        <v>315</v>
      </c>
      <c r="B165" s="1">
        <v>0.5</v>
      </c>
      <c r="F165" s="1" t="s">
        <v>281</v>
      </c>
      <c r="G165" s="1" t="s">
        <v>284</v>
      </c>
    </row>
    <row r="166">
      <c r="A166" s="1" t="s">
        <v>316</v>
      </c>
      <c r="B166" s="1">
        <v>45.0</v>
      </c>
      <c r="F166" s="1" t="s">
        <v>281</v>
      </c>
      <c r="G166" s="1" t="s">
        <v>284</v>
      </c>
    </row>
    <row r="167">
      <c r="A167" s="1" t="s">
        <v>317</v>
      </c>
      <c r="B167" s="1">
        <v>0.1</v>
      </c>
      <c r="F167" s="1" t="s">
        <v>281</v>
      </c>
      <c r="G167" s="1" t="s">
        <v>284</v>
      </c>
    </row>
    <row r="168">
      <c r="A168" s="1" t="s">
        <v>318</v>
      </c>
      <c r="B168" s="1">
        <v>1.5</v>
      </c>
      <c r="F168" s="1" t="s">
        <v>281</v>
      </c>
      <c r="G168" s="1" t="s">
        <v>284</v>
      </c>
    </row>
  </sheetData>
  <drawing r:id="rId1"/>
</worksheet>
</file>